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FAIR Assumptions" sheetId="2" state="visible" r:id="rId4"/>
    <sheet name="Risk Register" sheetId="3" state="visible" r:id="rId5"/>
    <sheet name="Heat Ma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<sst xmlns="http://schemas.openxmlformats.org/spreadsheetml/2006/main" count="188" uniqueCount="167">
  <si>
    <t xml:space="preserve">FAIR-Based Risk Register</t>
  </si>
  <si>
    <t xml:space="preserve">Factor Analysis of Information Risk (FAIR) quantification model</t>
  </si>
  <si>
    <t xml:space="preserve">Purpose</t>
  </si>
  <si>
    <t xml:space="preserve">This workbook applies the FAIR model to estimate Annualized Loss Expectancy (ALE) for a hypothetical mid-size Kenyan fintech organization. It extends the Cyber Risk Quantification (CRQ) methodology published separately, translating breach-cost benchmarks into scenario-level financial exposure and treatment priorities.</t>
  </si>
  <si>
    <t xml:space="preserve">How to use this workbook</t>
  </si>
  <si>
    <t xml:space="preserve">1. Go to the 'Risk Register' tab. Cells shaded blue text are inputs — edit LEF and Loss Magnitude estimates as your context changes.</t>
  </si>
  <si>
    <t xml:space="preserve">2. Annualized Loss Expectancy (ALE), Risk Score, and Risk Rating recalculate automatically from formulas — do not hardcode these.</t>
  </si>
  <si>
    <t xml:space="preserve">3. See the 'FAIR Assumptions' tab for the frequency/magnitude scales and source citations used to anchor each estimate.</t>
  </si>
  <si>
    <t xml:space="preserve">4. The 'Heat Map' tab summarizes all scenarios by Likelihood x Impact for a one-page executive view.</t>
  </si>
  <si>
    <t xml:space="preserve">Color legend</t>
  </si>
  <si>
    <t xml:space="preserve">Blue text</t>
  </si>
  <si>
    <t xml:space="preserve">Hardcoded input — edit as needed (FAIR estimates, controls, owners)</t>
  </si>
  <si>
    <t xml:space="preserve">Black text</t>
  </si>
  <si>
    <t xml:space="preserve">Formula — do not overwrite, will recalculate automatically</t>
  </si>
  <si>
    <t xml:space="preserve">Yellow fill</t>
  </si>
  <si>
    <t xml:space="preserve">Key assumption or example row — replace with your own scenario data</t>
  </si>
  <si>
    <t xml:space="preserve">Risk rating color key</t>
  </si>
  <si>
    <t xml:space="preserve">Low</t>
  </si>
  <si>
    <t xml:space="preserve">Medium</t>
  </si>
  <si>
    <t xml:space="preserve">High</t>
  </si>
  <si>
    <t xml:space="preserve">Critical</t>
  </si>
  <si>
    <t xml:space="preserve">FAIR Reference Scales &amp; Sourcing</t>
  </si>
  <si>
    <t xml:space="preserve">1. Loss Event Frequency (LEF) scale — estimated occurrences per year</t>
  </si>
  <si>
    <t xml:space="preserve">Rating</t>
  </si>
  <si>
    <t xml:space="preserve">Range (events/year)</t>
  </si>
  <si>
    <t xml:space="preserve">Description</t>
  </si>
  <si>
    <t xml:space="preserve">&lt; 0.1</t>
  </si>
  <si>
    <t xml:space="preserve">Less than once every 10 years</t>
  </si>
  <si>
    <t xml:space="preserve">0.1 - 1.0</t>
  </si>
  <si>
    <t xml:space="preserve">Roughly once every 1-10 years</t>
  </si>
  <si>
    <t xml:space="preserve">1.0 - 10</t>
  </si>
  <si>
    <t xml:space="preserve">Multiple times per year up to about 10x</t>
  </si>
  <si>
    <t xml:space="preserve">Very High</t>
  </si>
  <si>
    <t xml:space="preserve">&gt; 10</t>
  </si>
  <si>
    <t xml:space="preserve">More than 10 times per year</t>
  </si>
  <si>
    <t xml:space="preserve">2. Loss Magnitude anchor points (USD) — sourced</t>
  </si>
  <si>
    <t xml:space="preserve">Anchor</t>
  </si>
  <si>
    <t xml:space="preserve">Value (USD)</t>
  </si>
  <si>
    <t xml:space="preserve">Source</t>
  </si>
  <si>
    <t xml:space="preserve">Notes</t>
  </si>
  <si>
    <t xml:space="preserve">Global average cost per breach (2025)</t>
  </si>
  <si>
    <t xml:space="preserve">$4,440,000</t>
  </si>
  <si>
    <t xml:space="preserve">IBM Cost of a Data Breach Report 2025 (Ponemon Institute)</t>
  </si>
  <si>
    <t xml:space="preserve">Baseline global anchor, all industries, 600 orgs surveyed</t>
  </si>
  <si>
    <t xml:space="preserve">Financial services industry average (2025)</t>
  </si>
  <si>
    <t xml:space="preserve">$5,560,000</t>
  </si>
  <si>
    <t xml:space="preserve">IBM Cost of a Data Breach Report 2025</t>
  </si>
  <si>
    <t xml:space="preserve">Sector-specific anchor, most relevant to fintech scenarios</t>
  </si>
  <si>
    <t xml:space="preserve">Average ransomware recovery cost (2025)</t>
  </si>
  <si>
    <t xml:space="preserve">$1,530,000</t>
  </si>
  <si>
    <t xml:space="preserve">IBM Cost of a Data Breach Report 2025 (as cited by DataBreachCost.com aggregation)</t>
  </si>
  <si>
    <t xml:space="preserve">Used to anchor ransomware scenario magnitude</t>
  </si>
  <si>
    <t xml:space="preserve">Shadow AI cost premium (2025)</t>
  </si>
  <si>
    <t xml:space="preserve">$670,000</t>
  </si>
  <si>
    <t xml:space="preserve">Added cost when unsanctioned AI tools are involved in a breach</t>
  </si>
  <si>
    <t xml:space="preserve">Cost premium for breaches lasting &gt;200 days</t>
  </si>
  <si>
    <t xml:space="preserve">$1,140,000</t>
  </si>
  <si>
    <t xml:space="preserve">24% premium vs breaches contained within 200 days; used for supply-chain / insider scenarios with longer dwell time</t>
  </si>
  <si>
    <t xml:space="preserve">Regional scaling factor applied (this workbook)</t>
  </si>
  <si>
    <t xml:space="preserve">12%</t>
  </si>
  <si>
    <t xml:space="preserve">Analyst assumption — not sourced</t>
  </si>
  <si>
    <t xml:space="preserve">IBM anchors reflect global/US enterprise averages; scaled down to approximate a mid-size East African fintech's revenue and data footprint. Adjust B-column scaling inputs on Risk Register tab if your organization's size differs.</t>
  </si>
  <si>
    <t xml:space="preserve">3. Risk rating thresholds (Annualized Loss Expectancy, USD)</t>
  </si>
  <si>
    <t xml:space="preserve">ALE Threshold (USD)</t>
  </si>
  <si>
    <t xml:space="preserve">&lt; $10,000</t>
  </si>
  <si>
    <t xml:space="preserve">$10,000 - $75,000</t>
  </si>
  <si>
    <t xml:space="preserve">$75,000 - $250,000</t>
  </si>
  <si>
    <t xml:space="preserve">&gt; $250,000</t>
  </si>
  <si>
    <t xml:space="preserve">Cyber Risk Register - FAIR Quantification</t>
  </si>
  <si>
    <t xml:space="preserve">Illustrative scenario for a mid-size Kenyan fintech. Replace scenarios, LEF, and magnitude with organization-specific data.</t>
  </si>
  <si>
    <t xml:space="preserve">ID</t>
  </si>
  <si>
    <t xml:space="preserve">Risk Scenario</t>
  </si>
  <si>
    <t xml:space="preserve">Threat Community</t>
  </si>
  <si>
    <t xml:space="preserve">Asset / System</t>
  </si>
  <si>
    <t xml:space="preserve">LEF (events/yr)</t>
  </si>
  <si>
    <t xml:space="preserve">Loss Magnitude ($)</t>
  </si>
  <si>
    <t xml:space="preserve">Annualized Loss
Expectancy (ALE, $)</t>
  </si>
  <si>
    <t xml:space="preserve">Likelihood
Category</t>
  </si>
  <si>
    <t xml:space="preserve">Impact
Category</t>
  </si>
  <si>
    <t xml:space="preserve">Risk
Rating</t>
  </si>
  <si>
    <t xml:space="preserve">Existing Controls</t>
  </si>
  <si>
    <t xml:space="preserve">Treatment Recommendation</t>
  </si>
  <si>
    <t xml:space="preserve">Risk Owner</t>
  </si>
  <si>
    <t xml:space="preserve">Source / Notes</t>
  </si>
  <si>
    <t xml:space="preserve">R-01</t>
  </si>
  <si>
    <t xml:space="preserve">Ransomware encryption of core banking / policy admin systems</t>
  </si>
  <si>
    <t xml:space="preserve">External - organized cybercrime</t>
  </si>
  <si>
    <t xml:space="preserve">Core banking &amp; policy administration servers</t>
  </si>
  <si>
    <t xml:space="preserve">EDR on endpoints, offline backups tested quarterly, Sysmon logging</t>
  </si>
  <si>
    <t xml:space="preserve">Mitigate - implement immutable backups, tabletop ransomware exercise, network segmentation</t>
  </si>
  <si>
    <t xml:space="preserve">Head of IT / CISO</t>
  </si>
  <si>
    <t xml:space="preserve">Magnitude anchored to IBM 2025 ransomware recovery cost ($1.53M) x 12% regional scaling factor</t>
  </si>
  <si>
    <t xml:space="preserve">R-02</t>
  </si>
  <si>
    <t xml:space="preserve">Third-party vendor breach exposing customer records (supply chain)</t>
  </si>
  <si>
    <t xml:space="preserve">External - third-party / supply chain</t>
  </si>
  <si>
    <t xml:space="preserve">Customer PII held by outsourced KYC vendor</t>
  </si>
  <si>
    <t xml:space="preserve">Vendor due-diligence checklist at onboarding, annual vendor review</t>
  </si>
  <si>
    <t xml:space="preserve">Mitigate - add breach-notification SLA to vendor contracts, require SOC 2 report annually</t>
  </si>
  <si>
    <t xml:space="preserve">Head of Procurement / GRC Lead</t>
  </si>
  <si>
    <t xml:space="preserve">Magnitude anchored to financial services average ($5.56M) x 12%, plus long-dwell-time premium reflecting 267-day mean supply-chain detection time (IBM 2025)</t>
  </si>
  <si>
    <t xml:space="preserve">R-03</t>
  </si>
  <si>
    <t xml:space="preserve">Malicious insider exfiltrates customer financial data</t>
  </si>
  <si>
    <t xml:space="preserve">Internal - privileged employee</t>
  </si>
  <si>
    <t xml:space="preserve">Customer transaction database</t>
  </si>
  <si>
    <t xml:space="preserve">Role-based access control, quarterly access reviews</t>
  </si>
  <si>
    <t xml:space="preserve">Mitigate - deploy DLP on database exports, enforce least privilege, insider-threat monitoring via Velociraptor/Sysmon</t>
  </si>
  <si>
    <t xml:space="preserve">Head of IT / HR</t>
  </si>
  <si>
    <t xml:space="preserve">Magnitude anchored to financial services average ($5.56M) x 12%, plus dwell-time premium (260-day mean insider detection time, IBM 2025)</t>
  </si>
  <si>
    <t xml:space="preserve">R-04</t>
  </si>
  <si>
    <t xml:space="preserve">Phishing-enabled account takeover leading to fraudulent transfers</t>
  </si>
  <si>
    <t xml:space="preserve">Customer online banking / mobile app accounts</t>
  </si>
  <si>
    <t xml:space="preserve">MFA on customer accounts, email security gateway, phishing awareness training</t>
  </si>
  <si>
    <t xml:space="preserve">Mitigate - transaction anomaly monitoring, step-up authentication on high-value transfers</t>
  </si>
  <si>
    <t xml:space="preserve">Head of Fraud / Security Operations</t>
  </si>
  <si>
    <t xml:space="preserve">Magnitude anchored to global average ($4.44M) x 12%, scaled to single-incident scope (not full-breach scale)</t>
  </si>
  <si>
    <t xml:space="preserve">R-05</t>
  </si>
  <si>
    <t xml:space="preserve">Cloud storage misconfiguration exposes customer PII (Azure/AWS)</t>
  </si>
  <si>
    <t xml:space="preserve">Internal - configuration error</t>
  </si>
  <si>
    <t xml:space="preserve">Cloud-hosted customer data (Azure Blob / AWS S3)</t>
  </si>
  <si>
    <t xml:space="preserve">ScoutSuite quarterly cloud audit, tagged data classification</t>
  </si>
  <si>
    <t xml:space="preserve">Mitigate - automate config drift detection (e.g. CSPM tool), enforce private-by-default storage policy</t>
  </si>
  <si>
    <t xml:space="preserve">Cloud/Infrastructure Lead</t>
  </si>
  <si>
    <t xml:space="preserve">Magnitude anchored to global average ($4.44M) x 12%; likelihood informed by ScoutSuite audit findings</t>
  </si>
  <si>
    <t xml:space="preserve">R-06</t>
  </si>
  <si>
    <t xml:space="preserve">DDoS attack disrupts customer-facing digital banking platform</t>
  </si>
  <si>
    <t xml:space="preserve">External - hacktivist / extortion</t>
  </si>
  <si>
    <t xml:space="preserve">Public web &amp; mobile banking platform</t>
  </si>
  <si>
    <t xml:space="preserve">CDN with basic DDoS protection</t>
  </si>
  <si>
    <t xml:space="preserve">Mitigate - upgrade to dedicated anti-DDoS service, incident response runbook for availability events</t>
  </si>
  <si>
    <t xml:space="preserve">Head of IT Operations</t>
  </si>
  <si>
    <t xml:space="preserve">Magnitude anchored to global average ($4.44M) x 1% (availability-only impact, not full data breach)</t>
  </si>
  <si>
    <t xml:space="preserve">R-07</t>
  </si>
  <si>
    <t xml:space="preserve">Unpatched web application vulnerability exploited (RCE/SQLi)</t>
  </si>
  <si>
    <t xml:space="preserve">External - opportunistic attacker</t>
  </si>
  <si>
    <t xml:space="preserve">Customer-facing web application</t>
  </si>
  <si>
    <t xml:space="preserve">Quarterly vulnerability scanning, WAF in front of production</t>
  </si>
  <si>
    <t xml:space="preserve">Mitigate - formalize patch SLA (critical patches within 14 days), integrate SAST/DAST into CI/CD</t>
  </si>
  <si>
    <t xml:space="preserve">Head of Application Security</t>
  </si>
  <si>
    <t xml:space="preserve">Magnitude anchored to financial services average ($5.56M) x 12% x 40% (partial breach scope)</t>
  </si>
  <si>
    <t xml:space="preserve">R-08</t>
  </si>
  <si>
    <t xml:space="preserve">API authorization flaw (IDOR) exposes another customer's account data</t>
  </si>
  <si>
    <t xml:space="preserve">Mobile banking API layer</t>
  </si>
  <si>
    <t xml:space="preserve">Manual pentest coverage (annual), Burp Suite regression tests</t>
  </si>
  <si>
    <t xml:space="preserve">Mitigate - object-level authorization testing in QA, automated API security scanning pre-release</t>
  </si>
  <si>
    <t xml:space="preserve">Modeled on IDOR finding pattern (CVSS 9.8) from internal Vulnbank pentest exercise; magnitude anchored to financial services average x 12% x 30% (partial exposure scope)</t>
  </si>
  <si>
    <t xml:space="preserve">R-09</t>
  </si>
  <si>
    <t xml:space="preserve">Late/incomplete ODPC registration and DPIA submission (regulatory non-compliance)</t>
  </si>
  <si>
    <t xml:space="preserve">Internal - process/compliance gap</t>
  </si>
  <si>
    <t xml:space="preserve">Data protection compliance program</t>
  </si>
  <si>
    <t xml:space="preserve">Kenya DPA 2019 gap matrix completed, partial ODPC registration in progress</t>
  </si>
  <si>
    <t xml:space="preserve">Mitigate - complete ODPC registration, formalize DPIA process with defined submission timelines</t>
  </si>
  <si>
    <t xml:space="preserve">Data Protection Officer / GRC Lead</t>
  </si>
  <si>
    <t xml:space="preserve">Magnitude estimated from ODPC administrative fine range under Kenya DPA 2019, not IBM-sourced - confirm current fine schedule with ODPC before use</t>
  </si>
  <si>
    <t xml:space="preserve">R-10</t>
  </si>
  <si>
    <t xml:space="preserve">Shadow AI tool usage leads to unauthorized data exposure</t>
  </si>
  <si>
    <t xml:space="preserve">Internal - unsanctioned tool use</t>
  </si>
  <si>
    <t xml:space="preserve">Employee-used generative AI tools</t>
  </si>
  <si>
    <t xml:space="preserve">No formal AI usage policy currently in place</t>
  </si>
  <si>
    <t xml:space="preserve">Avoid/Mitigate - publish acceptable-use AI policy, deploy AI access controls and logging</t>
  </si>
  <si>
    <t xml:space="preserve">CISO / IT Governance</t>
  </si>
  <si>
    <t xml:space="preserve">Magnitude anchored to IBM 2025 shadow AI cost premium ($670,000) x 12% regional scaling factor</t>
  </si>
  <si>
    <t xml:space="preserve">Portfolio Total Annualized Loss Expectancy</t>
  </si>
  <si>
    <t xml:space="preserve">Risk Heat Map (Likelihood x Impact)</t>
  </si>
  <si>
    <t xml:space="preserve">Counts of scenarios from Risk Register by Likelihood Category and Impact Category</t>
  </si>
  <si>
    <t xml:space="preserve">Likelihood \ Impact -&gt;</t>
  </si>
  <si>
    <t xml:space="preserve">Reading the matrix</t>
  </si>
  <si>
    <t xml:space="preserve">Each cell counts how many of the 10 risk scenarios fall into that Likelihood/Impact combination. Cross-reference the 'Risk Register' tab for scenario detail and ALE figures.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</si>
</sst>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$#,##0"/>
    <numFmt numFmtId="167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C7A0"/>
      </patternFill>
    </fill>
    <fill>
      <patternFill patternType="solid">
        <fgColor rgb="FFFFC7A0"/>
        <bgColor rgb="FFFFC7CE"/>
      </patternFill>
    </fill>
    <fill>
      <patternFill patternType="solid">
        <fgColor rgb="FFFFC7CE"/>
        <bgColor rgb="FFFFC7A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A0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A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8" min="3" style="0" width="1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B9" s="4"/>
      <c r="C9" s="4"/>
      <c r="D9" s="4"/>
      <c r="E9" s="4"/>
      <c r="F9" s="4"/>
      <c r="G9" s="4"/>
      <c r="H9" s="4"/>
    </row>
    <row r="11" customFormat="false" ht="15" hidden="false" customHeight="false" outlineLevel="0" collapsed="false">
      <c r="B11" s="3" t="s">
        <v>4</v>
      </c>
    </row>
    <row r="12" customFormat="false" ht="15" hidden="false" customHeight="true" outlineLevel="0" collapsed="false">
      <c r="B12" s="4" t="s">
        <v>5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4" t="s">
        <v>6</v>
      </c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B14" s="4" t="s">
        <v>7</v>
      </c>
      <c r="C14" s="4"/>
      <c r="D14" s="4"/>
      <c r="E14" s="4"/>
      <c r="F14" s="4"/>
      <c r="G14" s="4"/>
      <c r="H14" s="4"/>
    </row>
    <row r="15" customFormat="false" ht="15" hidden="false" customHeight="true" outlineLevel="0" collapsed="false">
      <c r="B15" s="4" t="s">
        <v>8</v>
      </c>
      <c r="C15" s="4"/>
      <c r="D15" s="4"/>
      <c r="E15" s="4"/>
      <c r="F15" s="4"/>
      <c r="G15" s="4"/>
      <c r="H15" s="4"/>
    </row>
    <row r="17" customFormat="false" ht="15" hidden="false" customHeight="false" outlineLevel="0" collapsed="false">
      <c r="B17" s="3" t="s">
        <v>9</v>
      </c>
    </row>
    <row r="18" customFormat="false" ht="15" hidden="false" customHeight="false" outlineLevel="0" collapsed="false">
      <c r="B18" s="5" t="s">
        <v>10</v>
      </c>
      <c r="C18" s="6" t="s">
        <v>11</v>
      </c>
      <c r="D18" s="6"/>
      <c r="E18" s="6"/>
      <c r="F18" s="6"/>
      <c r="G18" s="6"/>
      <c r="H18" s="6"/>
    </row>
    <row r="19" customFormat="false" ht="15" hidden="false" customHeight="false" outlineLevel="0" collapsed="false">
      <c r="B19" s="7" t="s">
        <v>12</v>
      </c>
      <c r="C19" s="6" t="s">
        <v>13</v>
      </c>
      <c r="D19" s="6"/>
      <c r="E19" s="6"/>
      <c r="F19" s="6"/>
      <c r="G19" s="6"/>
      <c r="H19" s="6"/>
    </row>
    <row r="20" customFormat="false" ht="15" hidden="false" customHeight="false" outlineLevel="0" collapsed="false">
      <c r="B20" s="8" t="s">
        <v>14</v>
      </c>
      <c r="C20" s="6" t="s">
        <v>15</v>
      </c>
      <c r="D20" s="6"/>
      <c r="E20" s="6"/>
      <c r="F20" s="6"/>
      <c r="G20" s="6"/>
      <c r="H20" s="6"/>
    </row>
    <row r="22" customFormat="false" ht="15" hidden="false" customHeight="false" outlineLevel="0" collapsed="false">
      <c r="B22" s="3" t="s">
        <v>16</v>
      </c>
    </row>
    <row r="23" customFormat="false" ht="15" hidden="false" customHeight="false" outlineLevel="0" collapsed="false">
      <c r="B23" s="9" t="s">
        <v>17</v>
      </c>
    </row>
    <row r="24" customFormat="false" ht="15" hidden="false" customHeight="false" outlineLevel="0" collapsed="false">
      <c r="B24" s="10" t="s">
        <v>18</v>
      </c>
    </row>
    <row r="25" customFormat="false" ht="15" hidden="false" customHeight="false" outlineLevel="0" collapsed="false">
      <c r="B25" s="11" t="s">
        <v>19</v>
      </c>
    </row>
    <row r="26" customFormat="false" ht="15" hidden="false" customHeight="false" outlineLevel="0" collapsed="false">
      <c r="B26" s="12" t="s">
        <v>20</v>
      </c>
    </row>
  </sheetData>
  <mergeCells count="8">
    <mergeCell ref="B6:H9"/>
    <mergeCell ref="B12:H12"/>
    <mergeCell ref="B13:H13"/>
    <mergeCell ref="B14:H14"/>
    <mergeCell ref="B15:H15"/>
    <mergeCell ref="C18:H18"/>
    <mergeCell ref="C19:H19"/>
    <mergeCell ref="C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5" min="4" style="0" width="40"/>
    <col collapsed="false" customWidth="true" hidden="false" outlineLevel="0" max="7" min="6" style="0" width="4"/>
  </cols>
  <sheetData>
    <row r="2" customFormat="false" ht="17.35" hidden="false" customHeight="false" outlineLevel="0" collapsed="false">
      <c r="B2" s="13" t="s">
        <v>21</v>
      </c>
      <c r="C2" s="13"/>
      <c r="D2" s="13"/>
      <c r="E2" s="13"/>
      <c r="F2" s="13"/>
      <c r="G2" s="13"/>
    </row>
    <row r="4" customFormat="false" ht="15" hidden="false" customHeight="false" outlineLevel="0" collapsed="false">
      <c r="B4" s="14" t="s">
        <v>22</v>
      </c>
      <c r="C4" s="14"/>
      <c r="D4" s="14"/>
      <c r="E4" s="14"/>
      <c r="F4" s="14"/>
      <c r="G4" s="14"/>
    </row>
    <row r="5" customFormat="false" ht="19.5" hidden="false" customHeight="true" outlineLevel="0" collapsed="false">
      <c r="B5" s="15" t="s">
        <v>23</v>
      </c>
      <c r="C5" s="15" t="s">
        <v>24</v>
      </c>
      <c r="D5" s="15" t="s">
        <v>25</v>
      </c>
    </row>
    <row r="6" customFormat="false" ht="15" hidden="false" customHeight="false" outlineLevel="0" collapsed="false">
      <c r="B6" s="16" t="s">
        <v>17</v>
      </c>
      <c r="C6" s="16" t="s">
        <v>26</v>
      </c>
      <c r="D6" s="16" t="s">
        <v>27</v>
      </c>
    </row>
    <row r="7" customFormat="false" ht="15" hidden="false" customHeight="false" outlineLevel="0" collapsed="false">
      <c r="B7" s="16" t="s">
        <v>18</v>
      </c>
      <c r="C7" s="16" t="s">
        <v>28</v>
      </c>
      <c r="D7" s="16" t="s">
        <v>29</v>
      </c>
    </row>
    <row r="8" customFormat="false" ht="15" hidden="false" customHeight="false" outlineLevel="0" collapsed="false">
      <c r="B8" s="16" t="s">
        <v>19</v>
      </c>
      <c r="C8" s="16" t="s">
        <v>30</v>
      </c>
      <c r="D8" s="16" t="s">
        <v>31</v>
      </c>
    </row>
    <row r="9" customFormat="false" ht="15" hidden="false" customHeight="false" outlineLevel="0" collapsed="false">
      <c r="B9" s="16" t="s">
        <v>32</v>
      </c>
      <c r="C9" s="16" t="s">
        <v>33</v>
      </c>
      <c r="D9" s="16" t="s">
        <v>34</v>
      </c>
    </row>
    <row r="12" customFormat="false" ht="15" hidden="false" customHeight="false" outlineLevel="0" collapsed="false">
      <c r="B12" s="14" t="s">
        <v>35</v>
      </c>
      <c r="C12" s="14"/>
      <c r="D12" s="14"/>
      <c r="E12" s="14"/>
      <c r="F12" s="14"/>
      <c r="G12" s="14"/>
    </row>
    <row r="13" customFormat="false" ht="19.5" hidden="false" customHeight="true" outlineLevel="0" collapsed="false">
      <c r="B13" s="15" t="s">
        <v>36</v>
      </c>
      <c r="C13" s="15" t="s">
        <v>37</v>
      </c>
      <c r="D13" s="15" t="s">
        <v>38</v>
      </c>
      <c r="E13" s="15" t="s">
        <v>39</v>
      </c>
    </row>
    <row r="14" customFormat="false" ht="30" hidden="false" customHeight="true" outlineLevel="0" collapsed="false">
      <c r="B14" s="17" t="s">
        <v>40</v>
      </c>
      <c r="C14" s="17" t="s">
        <v>41</v>
      </c>
      <c r="D14" s="17" t="s">
        <v>42</v>
      </c>
      <c r="E14" s="17" t="s">
        <v>43</v>
      </c>
    </row>
    <row r="15" customFormat="false" ht="30" hidden="false" customHeight="true" outlineLevel="0" collapsed="false">
      <c r="B15" s="17" t="s">
        <v>44</v>
      </c>
      <c r="C15" s="17" t="s">
        <v>45</v>
      </c>
      <c r="D15" s="17" t="s">
        <v>46</v>
      </c>
      <c r="E15" s="17" t="s">
        <v>47</v>
      </c>
    </row>
    <row r="16" customFormat="false" ht="30" hidden="false" customHeight="true" outlineLevel="0" collapsed="false">
      <c r="B16" s="17" t="s">
        <v>48</v>
      </c>
      <c r="C16" s="17" t="s">
        <v>49</v>
      </c>
      <c r="D16" s="17" t="s">
        <v>50</v>
      </c>
      <c r="E16" s="17" t="s">
        <v>51</v>
      </c>
    </row>
    <row r="17" customFormat="false" ht="30" hidden="false" customHeight="true" outlineLevel="0" collapsed="false">
      <c r="B17" s="17" t="s">
        <v>52</v>
      </c>
      <c r="C17" s="17" t="s">
        <v>53</v>
      </c>
      <c r="D17" s="17" t="s">
        <v>46</v>
      </c>
      <c r="E17" s="17" t="s">
        <v>54</v>
      </c>
    </row>
    <row r="18" customFormat="false" ht="30" hidden="false" customHeight="true" outlineLevel="0" collapsed="false">
      <c r="B18" s="17" t="s">
        <v>55</v>
      </c>
      <c r="C18" s="17" t="s">
        <v>56</v>
      </c>
      <c r="D18" s="17" t="s">
        <v>46</v>
      </c>
      <c r="E18" s="17" t="s">
        <v>57</v>
      </c>
    </row>
    <row r="19" customFormat="false" ht="30" hidden="false" customHeight="true" outlineLevel="0" collapsed="false">
      <c r="B19" s="17" t="s">
        <v>58</v>
      </c>
      <c r="C19" s="17" t="s">
        <v>59</v>
      </c>
      <c r="D19" s="17" t="s">
        <v>60</v>
      </c>
      <c r="E19" s="17" t="s">
        <v>61</v>
      </c>
    </row>
    <row r="22" customFormat="false" ht="15" hidden="false" customHeight="false" outlineLevel="0" collapsed="false">
      <c r="B22" s="14" t="s">
        <v>62</v>
      </c>
      <c r="C22" s="14"/>
      <c r="D22" s="14"/>
      <c r="E22" s="14"/>
      <c r="F22" s="14"/>
      <c r="G22" s="14"/>
    </row>
    <row r="23" customFormat="false" ht="19.5" hidden="false" customHeight="true" outlineLevel="0" collapsed="false">
      <c r="B23" s="15" t="s">
        <v>23</v>
      </c>
      <c r="C23" s="15" t="s">
        <v>63</v>
      </c>
    </row>
    <row r="24" customFormat="false" ht="15" hidden="false" customHeight="false" outlineLevel="0" collapsed="false">
      <c r="B24" s="18" t="s">
        <v>17</v>
      </c>
      <c r="C24" s="19" t="s">
        <v>64</v>
      </c>
    </row>
    <row r="25" customFormat="false" ht="15" hidden="false" customHeight="false" outlineLevel="0" collapsed="false">
      <c r="B25" s="20" t="s">
        <v>18</v>
      </c>
      <c r="C25" s="19" t="s">
        <v>65</v>
      </c>
    </row>
    <row r="26" customFormat="false" ht="15" hidden="false" customHeight="false" outlineLevel="0" collapsed="false">
      <c r="B26" s="21" t="s">
        <v>19</v>
      </c>
      <c r="C26" s="19" t="s">
        <v>66</v>
      </c>
    </row>
    <row r="27" customFormat="false" ht="15" hidden="false" customHeight="false" outlineLevel="0" collapsed="false">
      <c r="B27" s="22" t="s">
        <v>20</v>
      </c>
      <c r="C27" s="19" t="s">
        <v>67</v>
      </c>
    </row>
  </sheetData>
  <mergeCells count="4">
    <mergeCell ref="B2:G2"/>
    <mergeCell ref="B4:G4"/>
    <mergeCell ref="B12:G12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11" min="9" style="0" width="11"/>
    <col collapsed="false" customWidth="true" hidden="false" outlineLevel="0" max="12" min="12" style="0" width="30"/>
    <col collapsed="false" customWidth="true" hidden="false" outlineLevel="0" max="13" min="13" style="0" width="34"/>
    <col collapsed="false" customWidth="true" hidden="false" outlineLevel="0" max="14" min="14" style="0" width="20"/>
    <col collapsed="false" customWidth="true" hidden="false" outlineLevel="0" max="15" min="15" style="0" width="40"/>
  </cols>
  <sheetData>
    <row r="2" customFormat="false" ht="17.35" hidden="false" customHeight="false" outlineLevel="0" collapsed="false">
      <c r="B2" s="13" t="s">
        <v>68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customFormat="false" ht="15" hidden="false" customHeight="false" outlineLevel="0" collapsed="false">
      <c r="B3" s="23" t="s">
        <v>69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5" customFormat="false" ht="42" hidden="false" customHeight="true" outlineLevel="0" collapsed="false">
      <c r="B5" s="15" t="s">
        <v>70</v>
      </c>
      <c r="C5" s="15" t="s">
        <v>71</v>
      </c>
      <c r="D5" s="15" t="s">
        <v>72</v>
      </c>
      <c r="E5" s="15" t="s">
        <v>73</v>
      </c>
      <c r="F5" s="15" t="s">
        <v>74</v>
      </c>
      <c r="G5" s="15" t="s">
        <v>75</v>
      </c>
      <c r="H5" s="15" t="s">
        <v>76</v>
      </c>
      <c r="I5" s="15" t="s">
        <v>77</v>
      </c>
      <c r="J5" s="15" t="s">
        <v>78</v>
      </c>
      <c r="K5" s="15" t="s">
        <v>79</v>
      </c>
      <c r="L5" s="15" t="s">
        <v>80</v>
      </c>
      <c r="M5" s="15" t="s">
        <v>81</v>
      </c>
      <c r="N5" s="15" t="s">
        <v>82</v>
      </c>
      <c r="O5" s="15" t="s">
        <v>83</v>
      </c>
    </row>
    <row r="6" customFormat="false" ht="45.75" hidden="false" customHeight="true" outlineLevel="0" collapsed="false">
      <c r="B6" s="24" t="s">
        <v>84</v>
      </c>
      <c r="C6" s="17" t="s">
        <v>85</v>
      </c>
      <c r="D6" s="25" t="s">
        <v>86</v>
      </c>
      <c r="E6" s="25" t="s">
        <v>87</v>
      </c>
      <c r="F6" s="26" t="n">
        <v>0.4</v>
      </c>
      <c r="G6" s="27" t="n">
        <v>183600</v>
      </c>
      <c r="H6" s="28" t="n">
        <f aca="false">F6*G6</f>
        <v>73440</v>
      </c>
      <c r="I6" s="29" t="str">
        <f aca="false">IF(F6&lt;0.1,"Low",IF(F6&lt;1,"Medium",IF(F6&lt;10,"High","Very High")))</f>
        <v>Medium</v>
      </c>
      <c r="J6" s="29" t="str">
        <f aca="false">IF(G6&lt;50000,"Low",IF(G6&lt;250000,"Medium",IF(G6&lt;1000000,"High","Very High")))</f>
        <v>Medium</v>
      </c>
      <c r="K6" s="30" t="str">
        <f aca="false">IF(H6&lt;10000,"Low",IF(H6&lt;75000,"Medium",IF(H6&lt;250000,"High","Critical")))</f>
        <v>Medium</v>
      </c>
      <c r="L6" s="25" t="s">
        <v>88</v>
      </c>
      <c r="M6" s="25" t="s">
        <v>89</v>
      </c>
      <c r="N6" s="31" t="s">
        <v>90</v>
      </c>
      <c r="O6" s="32" t="s">
        <v>91</v>
      </c>
    </row>
    <row r="7" customFormat="false" ht="45.75" hidden="false" customHeight="true" outlineLevel="0" collapsed="false">
      <c r="B7" s="24" t="s">
        <v>92</v>
      </c>
      <c r="C7" s="17" t="s">
        <v>93</v>
      </c>
      <c r="D7" s="25" t="s">
        <v>94</v>
      </c>
      <c r="E7" s="25" t="s">
        <v>95</v>
      </c>
      <c r="F7" s="26" t="n">
        <v>0.3</v>
      </c>
      <c r="G7" s="27" t="n">
        <v>730800</v>
      </c>
      <c r="H7" s="28" t="n">
        <f aca="false">F7*G7</f>
        <v>219240</v>
      </c>
      <c r="I7" s="29" t="str">
        <f aca="false">IF(F7&lt;0.1,"Low",IF(F7&lt;1,"Medium",IF(F7&lt;10,"High","Very High")))</f>
        <v>Medium</v>
      </c>
      <c r="J7" s="29" t="str">
        <f aca="false">IF(G7&lt;50000,"Low",IF(G7&lt;250000,"Medium",IF(G7&lt;1000000,"High","Very High")))</f>
        <v>High</v>
      </c>
      <c r="K7" s="30" t="str">
        <f aca="false">IF(H7&lt;10000,"Low",IF(H7&lt;75000,"Medium",IF(H7&lt;250000,"High","Critical")))</f>
        <v>High</v>
      </c>
      <c r="L7" s="25" t="s">
        <v>96</v>
      </c>
      <c r="M7" s="25" t="s">
        <v>97</v>
      </c>
      <c r="N7" s="31" t="s">
        <v>98</v>
      </c>
      <c r="O7" s="32" t="s">
        <v>99</v>
      </c>
    </row>
    <row r="8" customFormat="false" ht="45.75" hidden="false" customHeight="true" outlineLevel="0" collapsed="false">
      <c r="B8" s="24" t="s">
        <v>100</v>
      </c>
      <c r="C8" s="17" t="s">
        <v>101</v>
      </c>
      <c r="D8" s="25" t="s">
        <v>102</v>
      </c>
      <c r="E8" s="25" t="s">
        <v>103</v>
      </c>
      <c r="F8" s="26" t="n">
        <v>0.15</v>
      </c>
      <c r="G8" s="27" t="n">
        <v>666600</v>
      </c>
      <c r="H8" s="28" t="n">
        <f aca="false">F8*G8</f>
        <v>99990</v>
      </c>
      <c r="I8" s="29" t="str">
        <f aca="false">IF(F8&lt;0.1,"Low",IF(F8&lt;1,"Medium",IF(F8&lt;10,"High","Very High")))</f>
        <v>Medium</v>
      </c>
      <c r="J8" s="29" t="str">
        <f aca="false">IF(G8&lt;50000,"Low",IF(G8&lt;250000,"Medium",IF(G8&lt;1000000,"High","Very High")))</f>
        <v>High</v>
      </c>
      <c r="K8" s="30" t="str">
        <f aca="false">IF(H8&lt;10000,"Low",IF(H8&lt;75000,"Medium",IF(H8&lt;250000,"High","Critical")))</f>
        <v>High</v>
      </c>
      <c r="L8" s="25" t="s">
        <v>104</v>
      </c>
      <c r="M8" s="25" t="s">
        <v>105</v>
      </c>
      <c r="N8" s="31" t="s">
        <v>106</v>
      </c>
      <c r="O8" s="32" t="s">
        <v>107</v>
      </c>
    </row>
    <row r="9" customFormat="false" ht="45.75" hidden="false" customHeight="true" outlineLevel="0" collapsed="false">
      <c r="B9" s="24" t="s">
        <v>108</v>
      </c>
      <c r="C9" s="17" t="s">
        <v>109</v>
      </c>
      <c r="D9" s="25" t="s">
        <v>86</v>
      </c>
      <c r="E9" s="25" t="s">
        <v>110</v>
      </c>
      <c r="F9" s="26" t="n">
        <v>2.5</v>
      </c>
      <c r="G9" s="27" t="n">
        <v>53300</v>
      </c>
      <c r="H9" s="28" t="n">
        <f aca="false">F9*G9</f>
        <v>133250</v>
      </c>
      <c r="I9" s="29" t="str">
        <f aca="false">IF(F9&lt;0.1,"Low",IF(F9&lt;1,"Medium",IF(F9&lt;10,"High","Very High")))</f>
        <v>High</v>
      </c>
      <c r="J9" s="29" t="str">
        <f aca="false">IF(G9&lt;50000,"Low",IF(G9&lt;250000,"Medium",IF(G9&lt;1000000,"High","Very High")))</f>
        <v>Medium</v>
      </c>
      <c r="K9" s="30" t="str">
        <f aca="false">IF(H9&lt;10000,"Low",IF(H9&lt;75000,"Medium",IF(H9&lt;250000,"High","Critical")))</f>
        <v>High</v>
      </c>
      <c r="L9" s="25" t="s">
        <v>111</v>
      </c>
      <c r="M9" s="25" t="s">
        <v>112</v>
      </c>
      <c r="N9" s="31" t="s">
        <v>113</v>
      </c>
      <c r="O9" s="32" t="s">
        <v>114</v>
      </c>
    </row>
    <row r="10" customFormat="false" ht="45.75" hidden="false" customHeight="true" outlineLevel="0" collapsed="false">
      <c r="B10" s="24" t="s">
        <v>115</v>
      </c>
      <c r="C10" s="17" t="s">
        <v>116</v>
      </c>
      <c r="D10" s="25" t="s">
        <v>117</v>
      </c>
      <c r="E10" s="25" t="s">
        <v>118</v>
      </c>
      <c r="F10" s="26" t="n">
        <v>0.5</v>
      </c>
      <c r="G10" s="27" t="n">
        <v>532800</v>
      </c>
      <c r="H10" s="28" t="n">
        <f aca="false">F10*G10</f>
        <v>266400</v>
      </c>
      <c r="I10" s="29" t="str">
        <f aca="false">IF(F10&lt;0.1,"Low",IF(F10&lt;1,"Medium",IF(F10&lt;10,"High","Very High")))</f>
        <v>Medium</v>
      </c>
      <c r="J10" s="29" t="str">
        <f aca="false">IF(G10&lt;50000,"Low",IF(G10&lt;250000,"Medium",IF(G10&lt;1000000,"High","Very High")))</f>
        <v>High</v>
      </c>
      <c r="K10" s="30" t="str">
        <f aca="false">IF(H10&lt;10000,"Low",IF(H10&lt;75000,"Medium",IF(H10&lt;250000,"High","Critical")))</f>
        <v>Critical</v>
      </c>
      <c r="L10" s="25" t="s">
        <v>119</v>
      </c>
      <c r="M10" s="25" t="s">
        <v>120</v>
      </c>
      <c r="N10" s="31" t="s">
        <v>121</v>
      </c>
      <c r="O10" s="32" t="s">
        <v>122</v>
      </c>
    </row>
    <row r="11" customFormat="false" ht="45.75" hidden="false" customHeight="true" outlineLevel="0" collapsed="false">
      <c r="B11" s="24" t="s">
        <v>123</v>
      </c>
      <c r="C11" s="17" t="s">
        <v>124</v>
      </c>
      <c r="D11" s="25" t="s">
        <v>125</v>
      </c>
      <c r="E11" s="25" t="s">
        <v>126</v>
      </c>
      <c r="F11" s="26" t="n">
        <v>1.2</v>
      </c>
      <c r="G11" s="27" t="n">
        <v>44400</v>
      </c>
      <c r="H11" s="28" t="n">
        <f aca="false">F11*G11</f>
        <v>53280</v>
      </c>
      <c r="I11" s="29" t="str">
        <f aca="false">IF(F11&lt;0.1,"Low",IF(F11&lt;1,"Medium",IF(F11&lt;10,"High","Very High")))</f>
        <v>High</v>
      </c>
      <c r="J11" s="29" t="str">
        <f aca="false">IF(G11&lt;50000,"Low",IF(G11&lt;250000,"Medium",IF(G11&lt;1000000,"High","Very High")))</f>
        <v>Low</v>
      </c>
      <c r="K11" s="30" t="str">
        <f aca="false">IF(H11&lt;10000,"Low",IF(H11&lt;75000,"Medium",IF(H11&lt;250000,"High","Critical")))</f>
        <v>Medium</v>
      </c>
      <c r="L11" s="25" t="s">
        <v>127</v>
      </c>
      <c r="M11" s="25" t="s">
        <v>128</v>
      </c>
      <c r="N11" s="31" t="s">
        <v>129</v>
      </c>
      <c r="O11" s="32" t="s">
        <v>130</v>
      </c>
    </row>
    <row r="12" customFormat="false" ht="45.75" hidden="false" customHeight="true" outlineLevel="0" collapsed="false">
      <c r="B12" s="24" t="s">
        <v>131</v>
      </c>
      <c r="C12" s="17" t="s">
        <v>132</v>
      </c>
      <c r="D12" s="25" t="s">
        <v>133</v>
      </c>
      <c r="E12" s="25" t="s">
        <v>134</v>
      </c>
      <c r="F12" s="26" t="n">
        <v>0.8</v>
      </c>
      <c r="G12" s="27" t="n">
        <v>266400</v>
      </c>
      <c r="H12" s="28" t="n">
        <f aca="false">F12*G12</f>
        <v>213120</v>
      </c>
      <c r="I12" s="29" t="str">
        <f aca="false">IF(F12&lt;0.1,"Low",IF(F12&lt;1,"Medium",IF(F12&lt;10,"High","Very High")))</f>
        <v>Medium</v>
      </c>
      <c r="J12" s="29" t="str">
        <f aca="false">IF(G12&lt;50000,"Low",IF(G12&lt;250000,"Medium",IF(G12&lt;1000000,"High","Very High")))</f>
        <v>High</v>
      </c>
      <c r="K12" s="30" t="str">
        <f aca="false">IF(H12&lt;10000,"Low",IF(H12&lt;75000,"Medium",IF(H12&lt;250000,"High","Critical")))</f>
        <v>High</v>
      </c>
      <c r="L12" s="25" t="s">
        <v>135</v>
      </c>
      <c r="M12" s="25" t="s">
        <v>136</v>
      </c>
      <c r="N12" s="31" t="s">
        <v>137</v>
      </c>
      <c r="O12" s="32" t="s">
        <v>138</v>
      </c>
    </row>
    <row r="13" customFormat="false" ht="45.75" hidden="false" customHeight="true" outlineLevel="0" collapsed="false">
      <c r="B13" s="24" t="s">
        <v>139</v>
      </c>
      <c r="C13" s="17" t="s">
        <v>140</v>
      </c>
      <c r="D13" s="25" t="s">
        <v>133</v>
      </c>
      <c r="E13" s="25" t="s">
        <v>141</v>
      </c>
      <c r="F13" s="26" t="n">
        <v>0.6</v>
      </c>
      <c r="G13" s="27" t="n">
        <v>200160</v>
      </c>
      <c r="H13" s="28" t="n">
        <f aca="false">F13*G13</f>
        <v>120096</v>
      </c>
      <c r="I13" s="29" t="str">
        <f aca="false">IF(F13&lt;0.1,"Low",IF(F13&lt;1,"Medium",IF(F13&lt;10,"High","Very High")))</f>
        <v>Medium</v>
      </c>
      <c r="J13" s="29" t="str">
        <f aca="false">IF(G13&lt;50000,"Low",IF(G13&lt;250000,"Medium",IF(G13&lt;1000000,"High","Very High")))</f>
        <v>Medium</v>
      </c>
      <c r="K13" s="30" t="str">
        <f aca="false">IF(H13&lt;10000,"Low",IF(H13&lt;75000,"Medium",IF(H13&lt;250000,"High","Critical")))</f>
        <v>High</v>
      </c>
      <c r="L13" s="25" t="s">
        <v>142</v>
      </c>
      <c r="M13" s="25" t="s">
        <v>143</v>
      </c>
      <c r="N13" s="31" t="s">
        <v>137</v>
      </c>
      <c r="O13" s="32" t="s">
        <v>144</v>
      </c>
    </row>
    <row r="14" customFormat="false" ht="45.75" hidden="false" customHeight="true" outlineLevel="0" collapsed="false">
      <c r="B14" s="24" t="s">
        <v>145</v>
      </c>
      <c r="C14" s="17" t="s">
        <v>146</v>
      </c>
      <c r="D14" s="25" t="s">
        <v>147</v>
      </c>
      <c r="E14" s="25" t="s">
        <v>148</v>
      </c>
      <c r="F14" s="26" t="n">
        <v>0.9</v>
      </c>
      <c r="G14" s="27" t="n">
        <v>25000</v>
      </c>
      <c r="H14" s="28" t="n">
        <f aca="false">F14*G14</f>
        <v>22500</v>
      </c>
      <c r="I14" s="29" t="str">
        <f aca="false">IF(F14&lt;0.1,"Low",IF(F14&lt;1,"Medium",IF(F14&lt;10,"High","Very High")))</f>
        <v>Medium</v>
      </c>
      <c r="J14" s="29" t="str">
        <f aca="false">IF(G14&lt;50000,"Low",IF(G14&lt;250000,"Medium",IF(G14&lt;1000000,"High","Very High")))</f>
        <v>Low</v>
      </c>
      <c r="K14" s="30" t="str">
        <f aca="false">IF(H14&lt;10000,"Low",IF(H14&lt;75000,"Medium",IF(H14&lt;250000,"High","Critical")))</f>
        <v>Medium</v>
      </c>
      <c r="L14" s="25" t="s">
        <v>149</v>
      </c>
      <c r="M14" s="25" t="s">
        <v>150</v>
      </c>
      <c r="N14" s="31" t="s">
        <v>151</v>
      </c>
      <c r="O14" s="32" t="s">
        <v>152</v>
      </c>
    </row>
    <row r="15" customFormat="false" ht="45.75" hidden="false" customHeight="true" outlineLevel="0" collapsed="false">
      <c r="B15" s="24" t="s">
        <v>153</v>
      </c>
      <c r="C15" s="17" t="s">
        <v>154</v>
      </c>
      <c r="D15" s="25" t="s">
        <v>155</v>
      </c>
      <c r="E15" s="25" t="s">
        <v>156</v>
      </c>
      <c r="F15" s="26" t="n">
        <v>0.7</v>
      </c>
      <c r="G15" s="27" t="n">
        <v>80400</v>
      </c>
      <c r="H15" s="28" t="n">
        <f aca="false">F15*G15</f>
        <v>56280</v>
      </c>
      <c r="I15" s="29" t="str">
        <f aca="false">IF(F15&lt;0.1,"Low",IF(F15&lt;1,"Medium",IF(F15&lt;10,"High","Very High")))</f>
        <v>Medium</v>
      </c>
      <c r="J15" s="29" t="str">
        <f aca="false">IF(G15&lt;50000,"Low",IF(G15&lt;250000,"Medium",IF(G15&lt;1000000,"High","Very High")))</f>
        <v>Medium</v>
      </c>
      <c r="K15" s="30" t="str">
        <f aca="false">IF(H15&lt;10000,"Low",IF(H15&lt;75000,"Medium",IF(H15&lt;250000,"High","Critical")))</f>
        <v>Medium</v>
      </c>
      <c r="L15" s="25" t="s">
        <v>157</v>
      </c>
      <c r="M15" s="25" t="s">
        <v>158</v>
      </c>
      <c r="N15" s="31" t="s">
        <v>159</v>
      </c>
      <c r="O15" s="32" t="s">
        <v>160</v>
      </c>
    </row>
    <row r="17" customFormat="false" ht="15" hidden="false" customHeight="false" outlineLevel="0" collapsed="false">
      <c r="C17" s="33" t="s">
        <v>161</v>
      </c>
      <c r="H17" s="34" t="n">
        <f aca="false">SUM(H6:H15)</f>
        <v>1257596</v>
      </c>
    </row>
  </sheetData>
  <mergeCells count="2">
    <mergeCell ref="B2:N2"/>
    <mergeCell ref="B3:N3"/>
  </mergeCells>
  <conditionalFormatting sqref="K6:K15">
    <cfRule type="cellIs" priority="2" operator="equal" aboveAverage="0" equalAverage="0" bottom="0" percent="0" rank="0" text="" dxfId="0">
      <formula>"Low"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"High"</formula>
    </cfRule>
    <cfRule type="cellIs" priority="5" operator="equal" aboveAverage="0" equalAverage="0" bottom="0" percent="0" rank="0" text="" dxfId="3">
      <formula>"Critical"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"/>
    <col collapsed="false" customWidth="true" hidden="false" outlineLevel="0" max="3" min="3" style="0" width="22"/>
    <col collapsed="false" customWidth="true" hidden="false" outlineLevel="0" max="7" min="4" style="0" width="14"/>
  </cols>
  <sheetData>
    <row r="2" customFormat="false" ht="17.35" hidden="false" customHeight="false" outlineLevel="0" collapsed="false">
      <c r="B2" s="13" t="s">
        <v>162</v>
      </c>
      <c r="C2" s="13"/>
      <c r="D2" s="13"/>
      <c r="E2" s="13"/>
      <c r="F2" s="13"/>
      <c r="G2" s="13"/>
    </row>
    <row r="3" customFormat="false" ht="15" hidden="false" customHeight="false" outlineLevel="0" collapsed="false">
      <c r="B3" s="23" t="s">
        <v>163</v>
      </c>
      <c r="C3" s="23"/>
      <c r="D3" s="23"/>
      <c r="E3" s="23"/>
      <c r="F3" s="23"/>
      <c r="G3" s="23"/>
    </row>
    <row r="5" customFormat="false" ht="15" hidden="false" customHeight="false" outlineLevel="0" collapsed="false">
      <c r="C5" s="35" t="s">
        <v>164</v>
      </c>
      <c r="D5" s="36" t="s">
        <v>17</v>
      </c>
      <c r="E5" s="36" t="s">
        <v>18</v>
      </c>
      <c r="F5" s="36" t="s">
        <v>19</v>
      </c>
      <c r="G5" s="36" t="s">
        <v>32</v>
      </c>
    </row>
    <row r="6" customFormat="false" ht="15" hidden="false" customHeight="false" outlineLevel="0" collapsed="false">
      <c r="C6" s="37" t="s">
        <v>17</v>
      </c>
      <c r="D6" s="38" t="n">
        <f aca="false">COUNTIFS('Risk Register'!I6:I15,"Low",'Risk Register'!J6:J15,"Low")</f>
        <v>0</v>
      </c>
      <c r="E6" s="38" t="n">
        <f aca="false">COUNTIFS('Risk Register'!I6:I15,"Low",'Risk Register'!J6:J15,"Medium")</f>
        <v>0</v>
      </c>
      <c r="F6" s="39" t="n">
        <f aca="false">COUNTIFS('Risk Register'!I6:I15,"Low",'Risk Register'!J6:J15,"High")</f>
        <v>0</v>
      </c>
      <c r="G6" s="39" t="n">
        <f aca="false">COUNTIFS('Risk Register'!I6:I15,"Low",'Risk Register'!J6:J15,"Very High")</f>
        <v>0</v>
      </c>
    </row>
    <row r="7" customFormat="false" ht="15" hidden="false" customHeight="false" outlineLevel="0" collapsed="false">
      <c r="C7" s="37" t="s">
        <v>18</v>
      </c>
      <c r="D7" s="38" t="n">
        <f aca="false">COUNTIFS('Risk Register'!I6:I15,"Medium",'Risk Register'!J6:J15,"Low")</f>
        <v>1</v>
      </c>
      <c r="E7" s="39" t="n">
        <f aca="false">COUNTIFS('Risk Register'!I6:I15,"Medium",'Risk Register'!J6:J15,"Medium")</f>
        <v>3</v>
      </c>
      <c r="F7" s="39" t="n">
        <f aca="false">COUNTIFS('Risk Register'!I6:I15,"Medium",'Risk Register'!J6:J15,"High")</f>
        <v>4</v>
      </c>
      <c r="G7" s="40" t="n">
        <f aca="false">COUNTIFS('Risk Register'!I6:I15,"Medium",'Risk Register'!J6:J15,"Very High")</f>
        <v>0</v>
      </c>
    </row>
    <row r="8" customFormat="false" ht="15" hidden="false" customHeight="false" outlineLevel="0" collapsed="false">
      <c r="C8" s="37" t="s">
        <v>19</v>
      </c>
      <c r="D8" s="39" t="n">
        <f aca="false">COUNTIFS('Risk Register'!I6:I15,"High",'Risk Register'!J6:J15,"Low")</f>
        <v>1</v>
      </c>
      <c r="E8" s="39" t="n">
        <f aca="false">COUNTIFS('Risk Register'!I6:I15,"High",'Risk Register'!J6:J15,"Medium")</f>
        <v>1</v>
      </c>
      <c r="F8" s="40" t="n">
        <f aca="false">COUNTIFS('Risk Register'!I6:I15,"High",'Risk Register'!J6:J15,"High")</f>
        <v>0</v>
      </c>
      <c r="G8" s="41" t="n">
        <f aca="false">COUNTIFS('Risk Register'!I6:I15,"High",'Risk Register'!J6:J15,"Very High")</f>
        <v>0</v>
      </c>
    </row>
    <row r="9" customFormat="false" ht="15" hidden="false" customHeight="false" outlineLevel="0" collapsed="false">
      <c r="C9" s="37" t="s">
        <v>32</v>
      </c>
      <c r="D9" s="39" t="n">
        <f aca="false">COUNTIFS('Risk Register'!I6:I15,"Very High",'Risk Register'!J6:J15,"Low")</f>
        <v>0</v>
      </c>
      <c r="E9" s="40" t="n">
        <f aca="false">COUNTIFS('Risk Register'!I6:I15,"Very High",'Risk Register'!J6:J15,"Medium")</f>
        <v>0</v>
      </c>
      <c r="F9" s="41" t="n">
        <f aca="false">COUNTIFS('Risk Register'!I6:I15,"Very High",'Risk Register'!J6:J15,"High")</f>
        <v>0</v>
      </c>
      <c r="G9" s="41" t="n">
        <f aca="false">COUNTIFS('Risk Register'!I6:I15,"Very High",'Risk Register'!J6:J15,"Very High")</f>
        <v>0</v>
      </c>
    </row>
    <row r="11" customFormat="false" ht="15" hidden="false" customHeight="false" outlineLevel="0" collapsed="false">
      <c r="C11" s="3" t="s">
        <v>165</v>
      </c>
    </row>
    <row r="12" customFormat="false" ht="15" hidden="false" customHeight="true" outlineLevel="0" collapsed="false">
      <c r="C12" s="42" t="s">
        <v>166</v>
      </c>
      <c r="D12" s="42"/>
      <c r="E12" s="42"/>
      <c r="F12" s="42"/>
      <c r="G12" s="42"/>
      <c r="H12" s="42"/>
    </row>
    <row r="13" customFormat="false" ht="15" hidden="false" customHeight="false" outlineLevel="0" collapsed="false">
      <c r="C13" s="42"/>
      <c r="D13" s="42"/>
      <c r="E13" s="42"/>
      <c r="F13" s="42"/>
      <c r="G13" s="42"/>
      <c r="H13" s="42"/>
    </row>
  </sheetData>
  <mergeCells count="3">
    <mergeCell ref="B2:G2"/>
    <mergeCell ref="B3:G3"/>
    <mergeCell ref="C12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2026-08-11T08:25:39Z</dcterms:created>
  <dc:creator>openpyxl</dc:creator>
  <dc:description/>
  <dc:language>en-US</dc:language>
  <cp:lastModifiedBy/>
  <dcterms:modified xsi:type="dcterms:W3CDTF">2026-08-11T08:25:39Z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