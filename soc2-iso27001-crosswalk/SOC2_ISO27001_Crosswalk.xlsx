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ARD\Documents\"/>
    </mc:Choice>
  </mc:AlternateContent>
  <xr:revisionPtr revIDLastSave="0" documentId="13_ncr:1_{4BAB28C7-B9A5-4BFB-A7DE-31A4D8E71C6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rosswalk" sheetId="1" r:id="rId1"/>
    <sheet name="Checklist" sheetId="2" r:id="rId2"/>
    <sheet name="Notes and Sources" sheetId="3" r:id="rId3"/>
  </sheets>
  <definedNames>
    <definedName name="_xlnm.Print_Titles" localSheetId="0">Crosswalk!$4:$4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9" i="2" s="1"/>
</calcChain>
</file>

<file path=xl/sharedStrings.xml><?xml version="1.0" encoding="utf-8"?>
<sst xmlns="http://schemas.openxmlformats.org/spreadsheetml/2006/main" count="260" uniqueCount="170">
  <si>
    <t>SOC 2 and ISO 27001:2022 Control Crosswalk</t>
  </si>
  <si>
    <t>One control statement per topic, mapped to both frameworks. Fill the last column only after checking the row against the published standards.</t>
  </si>
  <si>
    <t>ID</t>
  </si>
  <si>
    <t>Control topic</t>
  </si>
  <si>
    <t>SOC 2 criteria</t>
  </si>
  <si>
    <t>ISO 27001:2022 reference</t>
  </si>
  <si>
    <t>Plain language control statement</t>
  </si>
  <si>
    <t>Evidence an auditor would request</t>
  </si>
  <si>
    <t>Risk if the control fails</t>
  </si>
  <si>
    <t>Verified against source (initials and date)</t>
  </si>
  <si>
    <t>C01</t>
  </si>
  <si>
    <t>Policies and responsibilities</t>
  </si>
  <si>
    <t>CC1.3, CC2.2, CC5.3</t>
  </si>
  <si>
    <t>A.5.1, A.5.2</t>
  </si>
  <si>
    <t>Information security policies are approved by management, reviewed on a set schedule, and communicated to staff. Security roles and responsibilities are assigned in writing.</t>
  </si>
  <si>
    <t>Approved policy with version number and date; staff acknowledgement records; organization chart or responsibility matrix.</t>
  </si>
  <si>
    <t>Controls have no owner, policies go stale, and staff cannot be held to rules they never received.</t>
  </si>
  <si>
    <t>C02</t>
  </si>
  <si>
    <t>Risk assessment</t>
  </si>
  <si>
    <t>CC3.1, CC3.2</t>
  </si>
  <si>
    <t>Clauses 6.1.2 and 8.2 (main body)</t>
  </si>
  <si>
    <t>Risks are identified, scored and recorded in a risk register that is reviewed at least annually and after major changes.</t>
  </si>
  <si>
    <t>Risk register with owners and dates; risk assessment methodology; minutes of the review meeting.</t>
  </si>
  <si>
    <t>Exposures stay unknown, so money and effort go to the wrong controls.</t>
  </si>
  <si>
    <t>C03</t>
  </si>
  <si>
    <t>Access provisioning and removal</t>
  </si>
  <si>
    <t>CC6.2, CC6.3</t>
  </si>
  <si>
    <t>A.5.15, A.5.16, A.5.18</t>
  </si>
  <si>
    <t>Access is requested, approved by the data or system owner, and granted by role. Access is removed or changed promptly when a person leaves or changes role.</t>
  </si>
  <si>
    <t>Access request tickets with approver and date; leaver checklist; sample of joiner, mover and leaver records.</t>
  </si>
  <si>
    <t>Former staff or the wrong people keep access to systems and data.</t>
  </si>
  <si>
    <t>C04</t>
  </si>
  <si>
    <t>Periodic access review</t>
  </si>
  <si>
    <t>CC6.1, CC6.3</t>
  </si>
  <si>
    <t>A.5.18</t>
  </si>
  <si>
    <t>User access to production systems is reviewed every quarter by the system owner, and any unneeded access is removed.</t>
  </si>
  <si>
    <t>Signed and dated review log; list of users reviewed; tickets showing removals made after the review.</t>
  </si>
  <si>
    <t>Excess or stale access accumulates and unauthorized access goes unnoticed.</t>
  </si>
  <si>
    <t>C05</t>
  </si>
  <si>
    <t>Privileged access and authentication</t>
  </si>
  <si>
    <t>CC6.1</t>
  </si>
  <si>
    <t>A.8.2, A.5.17, A.8.5</t>
  </si>
  <si>
    <t>Administrator access is limited to named people who need it. Multi factor authentication is required for administrator and remote access.</t>
  </si>
  <si>
    <t>Admin account list with justification; screenshot of the MFA enforcement setting; password policy settings.</t>
  </si>
  <si>
    <t>A single stolen password gives an attacker full control of systems.</t>
  </si>
  <si>
    <t>C06</t>
  </si>
  <si>
    <t>Encryption</t>
  </si>
  <si>
    <t>CC6.1, CC6.7</t>
  </si>
  <si>
    <t>A.8.24</t>
  </si>
  <si>
    <t>Sensitive data is encrypted at rest and in transit using approved methods, and encryption keys are managed and protected.</t>
  </si>
  <si>
    <t>Encryption settings for databases and storage; TLS configuration scan; key management procedure.</t>
  </si>
  <si>
    <t>Data is readable if a device, backup or network connection is compromised.</t>
  </si>
  <si>
    <t>C07</t>
  </si>
  <si>
    <t>Network and boundary protection</t>
  </si>
  <si>
    <t>CC6.6</t>
  </si>
  <si>
    <t>A.8.20, A.8.22</t>
  </si>
  <si>
    <t>Firewalls and network segmentation protect systems from external threats, and firewall rules are reviewed on a schedule.</t>
  </si>
  <si>
    <t>Firewall rule set and review record; network diagram; segmentation settings.</t>
  </si>
  <si>
    <t>Attackers reach internal systems directly from the internet.</t>
  </si>
  <si>
    <t>C08</t>
  </si>
  <si>
    <t>Malware protection</t>
  </si>
  <si>
    <t>CC6.8</t>
  </si>
  <si>
    <t>A.8.7</t>
  </si>
  <si>
    <t>Anti malware or endpoint detection tools are installed on in scope devices, kept up to date, and alert on detections.</t>
  </si>
  <si>
    <t>Endpoint tool deployment report; coverage percentage; sample alert and response record.</t>
  </si>
  <si>
    <t>Malicious software spreads unchecked across devices.</t>
  </si>
  <si>
    <t>C09</t>
  </si>
  <si>
    <t>Vulnerability management</t>
  </si>
  <si>
    <t>CC7.1</t>
  </si>
  <si>
    <t>A.8.8</t>
  </si>
  <si>
    <t>Systems are scanned for vulnerabilities on a set schedule, findings are rated, and fixes are made within defined timeframes.</t>
  </si>
  <si>
    <t>Scan reports with dates; remediation tickets; patching policy with target timeframes.</t>
  </si>
  <si>
    <t>Known weaknesses stay open long enough to be exploited.</t>
  </si>
  <si>
    <t>C10</t>
  </si>
  <si>
    <t>Logging and monitoring</t>
  </si>
  <si>
    <t>CC7.2</t>
  </si>
  <si>
    <t>A.8.15, A.8.16</t>
  </si>
  <si>
    <t>Security relevant events are logged, logs are protected from change, and logs are reviewed or alerted on for signs of unauthorized activity.</t>
  </si>
  <si>
    <t>Logging configuration; log retention setting; sample alert and the ticket raised from it.</t>
  </si>
  <si>
    <t>An intrusion or misuse goes undetected and cannot be investigated later.</t>
  </si>
  <si>
    <t>C11</t>
  </si>
  <si>
    <t>Incident response</t>
  </si>
  <si>
    <t>CC7.3, CC7.4, CC7.5</t>
  </si>
  <si>
    <t>A.5.24, A.5.25, A.5.26, A.5.27, A.5.28</t>
  </si>
  <si>
    <t>A documented process defines how incidents are reported, assessed, escalated, contained and reviewed afterward, and the process is tested.</t>
  </si>
  <si>
    <t>Incident response plan; incident tickets with timeline; post incident review; test or tabletop record.</t>
  </si>
  <si>
    <t>Incidents are handled slowly or inconsistently, and the same failure repeats.</t>
  </si>
  <si>
    <t>C12</t>
  </si>
  <si>
    <t>Change management</t>
  </si>
  <si>
    <t>CC8.1</t>
  </si>
  <si>
    <t>A.8.32</t>
  </si>
  <si>
    <t>Changes to systems are requested, reviewed, tested and approved before release, and the person who approves is not the person who makes the change.</t>
  </si>
  <si>
    <t>Change tickets with approval and test evidence; code review records; emergency change procedure.</t>
  </si>
  <si>
    <t>Untested or unauthorized changes break systems or introduce weaknesses.</t>
  </si>
  <si>
    <t>C13</t>
  </si>
  <si>
    <t>Vendor management</t>
  </si>
  <si>
    <t>CC9.2</t>
  </si>
  <si>
    <t>A.5.19, A.5.20, A.5.22, A.5.23</t>
  </si>
  <si>
    <t>Vendors with access to company data or systems are assessed before onboarding, covered by security terms in the contract, and reviewed on a schedule.</t>
  </si>
  <si>
    <t>Vendor list with risk rating; completed assessments or vendor audit reports; contracts with security clauses.</t>
  </si>
  <si>
    <t>A weakness at a supplier becomes a breach of your own data.</t>
  </si>
  <si>
    <t>C14</t>
  </si>
  <si>
    <t>Backup, recovery and continuity</t>
  </si>
  <si>
    <t>A1.2, A1.3, CC9.1</t>
  </si>
  <si>
    <t>A.8.13, A.5.29, A.5.30</t>
  </si>
  <si>
    <t>Backups are taken on a schedule, protected, and restored in tests. A continuity and recovery plan covers critical systems with defined recovery targets.</t>
  </si>
  <si>
    <t>Backup job logs; restore test record; continuity plan with recovery time targets.</t>
  </si>
  <si>
    <t>A failure or attack causes data loss or long outages with no tested way back.</t>
  </si>
  <si>
    <t>C15</t>
  </si>
  <si>
    <t>Security awareness and training</t>
  </si>
  <si>
    <t>CC1.4, CC2.2</t>
  </si>
  <si>
    <t>A.6.3</t>
  </si>
  <si>
    <t>All staff complete security awareness training when they join and every year after, and completion is tracked.</t>
  </si>
  <si>
    <t>Training content; completion report with dates; new starter records.</t>
  </si>
  <si>
    <t>Staff fall for phishing or mishandle data because they were never taught.</t>
  </si>
  <si>
    <t>C16</t>
  </si>
  <si>
    <t>Physical security</t>
  </si>
  <si>
    <t>CC6.4</t>
  </si>
  <si>
    <t>A.7.1, A.7.2</t>
  </si>
  <si>
    <t>Physical access to offices and server areas is restricted to authorized people, and entry is logged and reviewed.</t>
  </si>
  <si>
    <t>Access card list and review; visitor log; CCTV coverage and retention record.</t>
  </si>
  <si>
    <t>Unauthorized people reach equipment or records directly.</t>
  </si>
  <si>
    <t>SOC 2 and ISO 27001 Readiness Checklist</t>
  </si>
  <si>
    <t>Template showing how SOC 2 criteria map to ISO 27001:2022 controls. Statuses are left as Not assessed on purpose. To use it, edit only the Status, Evidence location, Owner and Notes columns.</t>
  </si>
  <si>
    <t>Summary</t>
  </si>
  <si>
    <t>Total items</t>
  </si>
  <si>
    <t>Yes</t>
  </si>
  <si>
    <t>Partial</t>
  </si>
  <si>
    <t>No</t>
  </si>
  <si>
    <t>Not assessed</t>
  </si>
  <si>
    <t>Percent Yes</t>
  </si>
  <si>
    <t>Question to ask</t>
  </si>
  <si>
    <t>Status</t>
  </si>
  <si>
    <t>Evidence location</t>
  </si>
  <si>
    <t>Owner</t>
  </si>
  <si>
    <t>Notes</t>
  </si>
  <si>
    <t>Is there a current approved policy and a named owner for security?</t>
  </si>
  <si>
    <t>Does a dated risk register exist, with an owner for each risk?</t>
  </si>
  <si>
    <t>Can I show an approved ticket for a sample of new users and a removal record for a sample of leavers?</t>
  </si>
  <si>
    <t>Is there a dated review for each quarter with evidence of follow up?</t>
  </si>
  <si>
    <t>Is MFA enforced for all admin and remote access, and can I show the setting?</t>
  </si>
  <si>
    <t>Which systems hold sensitive data, and is each one encrypted at rest and in transit?</t>
  </si>
  <si>
    <t>Is there a current network diagram and a dated firewall rule review?</t>
  </si>
  <si>
    <t>What share of devices run the endpoint tool, and who reviews its alerts?</t>
  </si>
  <si>
    <t>Are scans run on schedule, and are high severity findings fixed within the policy timeframe?</t>
  </si>
  <si>
    <t>Which systems send logs to a central place, and who acts on the alerts?</t>
  </si>
  <si>
    <t>Is there a plan, a tested example, and a record of lessons from a past incident?</t>
  </si>
  <si>
    <t>Can I show approval and testing for a sample of recent changes?</t>
  </si>
  <si>
    <t>Is there a current vendor list with a risk rating and an assessment for each high risk vendor?</t>
  </si>
  <si>
    <t>When was the last successful restore test, and does the plan name recovery targets?</t>
  </si>
  <si>
    <t>What is the completion rate, and who follows up on people who have not finished?</t>
  </si>
  <si>
    <t>Who can enter secure areas, and is the access list reviewed on a schedule?</t>
  </si>
  <si>
    <t>Notes and Sources</t>
  </si>
  <si>
    <t>How to use this workbook</t>
  </si>
  <si>
    <t>1. Pick one row on the Crosswalk tab. Read the matching SOC 2 criterion and ISO 27001 Annex A control in the source documents.</t>
  </si>
  <si>
    <t>2. Rewrite the control statement in your own words, then confirm the clause numbers. Record your initials and the date in the last column.</t>
  </si>
  <si>
    <t>3. On the Checklist tab, set Status for each control and note where the evidence lives.</t>
  </si>
  <si>
    <t>Example of a completed Checklist entry</t>
  </si>
  <si>
    <t>Status: Partial. Evidence location: Quarterly access review log, Q3 2026, shared drive folder IT/Reviews. Owner: IT Manager. Notes: Q2 review missing.</t>
  </si>
  <si>
    <t>Assumptions and limits</t>
  </si>
  <si>
    <t>The mappings are a study aid. Rows with initials and a date in the verified column of the Crosswalk tab were checked against the AICPA Trust Services Criteria and ISO/IEC 27001:2022 Annex A. The remaining rows are pending review. Mappings differ between practitioners, so treat each row as a reasoned starting point and not an official equivalence.</t>
  </si>
  <si>
    <t>Row C02 points to ISO 27001 main body clauses, not Annex A, because risk assessment is a management system requirement.</t>
  </si>
  <si>
    <t>Row C14 uses the SOC 2 Availability category, which a company includes only if it chooses to.</t>
  </si>
  <si>
    <t>Encryption (C06) maps to CC6.1 and CC6.7, which both address encryption, with CC6.7 covering data in transit and movement. Boundary protection (C07) maps to CC6.6.</t>
  </si>
  <si>
    <t>Primary sources (the authority for criteria text and clause numbers)</t>
  </si>
  <si>
    <t>AICPA, Trust Services Criteria for Security, Availability, Processing Integrity, Confidentiality, and Privacy (2017, with revised points of focus 2022).</t>
  </si>
  <si>
    <t>ISO/IEC 27001:2022, Information security management systems, Annex A (Organizational A.5, People A.6, Physical A.7, Technological A.8).</t>
  </si>
  <si>
    <t>Secondary cross-check (not an authority)</t>
  </si>
  <si>
    <t>Axipro (Pedro Dias), SOC 2 to ISO 27001 Mapping: A Crosswalk Guide, published 19 May 2026, last updated 20 May 2026, https://axipro.co/soc-2-to-iso-27001-mapping/, accessed 14 October 2026.</t>
  </si>
  <si>
    <t>B.K 14/10/2026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</si>
</sst>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zoomScaleNormal="100" workbookViewId="0">
      <pane xSplit="2" ySplit="4" topLeftCell="E10" activePane="bottomRight" state="frozen"/>
      <selection pane="topRight" activeCell="C1" sqref="C1"/>
      <selection pane="bottomLeft" activeCell="A5" sqref="A5"/>
      <selection pane="bottomRight" activeCell="H17" sqref="H17"/>
    </sheetView>
  </sheetViews>
  <sheetFormatPr defaultColWidth="8.6640625" defaultRowHeight="14.4" x14ac:dyDescent="0.3"/>
  <cols>
    <col min="1" max="1" width="7" customWidth="1"/>
    <col min="2" max="2" width="26" customWidth="1"/>
    <col min="3" max="3" width="18" customWidth="1"/>
    <col min="4" max="4" width="24" customWidth="1"/>
    <col min="5" max="5" width="52" customWidth="1"/>
    <col min="6" max="6" width="48" customWidth="1"/>
    <col min="7" max="7" width="40" customWidth="1"/>
    <col min="8" max="8" width="22" customWidth="1"/>
  </cols>
  <sheetData>
    <row r="1" spans="1:8" ht="17.25" customHeight="1" x14ac:dyDescent="0.3">
      <c r="A1" s="1" t="s">
        <v>0</v>
      </c>
    </row>
    <row r="2" spans="1:8" x14ac:dyDescent="0.3">
      <c r="A2" s="2" t="s">
        <v>1</v>
      </c>
    </row>
    <row r="4" spans="1:8" ht="26.2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39" customHeight="1" x14ac:dyDescent="0.3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169</v>
      </c>
    </row>
    <row r="6" spans="1:8" ht="26.25" customHeight="1" x14ac:dyDescent="0.3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169</v>
      </c>
    </row>
    <row r="7" spans="1:8" ht="39" customHeight="1" x14ac:dyDescent="0.3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/>
    </row>
    <row r="8" spans="1:8" ht="26.25" customHeight="1" x14ac:dyDescent="0.3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169</v>
      </c>
    </row>
    <row r="9" spans="1:8" ht="39" customHeight="1" x14ac:dyDescent="0.3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/>
    </row>
    <row r="10" spans="1:8" ht="39" customHeight="1" x14ac:dyDescent="0.3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169</v>
      </c>
    </row>
    <row r="11" spans="1:8" ht="39" customHeight="1" x14ac:dyDescent="0.3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  <c r="H11" s="4"/>
    </row>
    <row r="12" spans="1:8" ht="26.25" customHeight="1" x14ac:dyDescent="0.3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/>
    </row>
    <row r="13" spans="1:8" ht="39" customHeight="1" x14ac:dyDescent="0.3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  <c r="H13" s="4"/>
    </row>
    <row r="14" spans="1:8" ht="39" customHeight="1" x14ac:dyDescent="0.3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  <c r="H14" s="4"/>
    </row>
    <row r="15" spans="1:8" ht="39" customHeight="1" x14ac:dyDescent="0.3">
      <c r="A15" s="4" t="s">
        <v>80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  <c r="H15" s="4"/>
    </row>
    <row r="16" spans="1:8" ht="39" customHeight="1" x14ac:dyDescent="0.3">
      <c r="A16" s="4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93</v>
      </c>
      <c r="H16" s="4" t="s">
        <v>169</v>
      </c>
    </row>
    <row r="17" spans="1:8" ht="39" customHeight="1" x14ac:dyDescent="0.3">
      <c r="A17" s="4" t="s">
        <v>94</v>
      </c>
      <c r="B17" s="4" t="s">
        <v>95</v>
      </c>
      <c r="C17" s="4" t="s">
        <v>96</v>
      </c>
      <c r="D17" s="4" t="s">
        <v>97</v>
      </c>
      <c r="E17" s="4" t="s">
        <v>98</v>
      </c>
      <c r="F17" s="4" t="s">
        <v>99</v>
      </c>
      <c r="G17" s="4" t="s">
        <v>100</v>
      </c>
      <c r="H17" s="4" t="s">
        <v>169</v>
      </c>
    </row>
    <row r="18" spans="1:8" ht="39" customHeight="1" x14ac:dyDescent="0.3">
      <c r="A18" s="4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106</v>
      </c>
      <c r="G18" s="4" t="s">
        <v>107</v>
      </c>
      <c r="H18" s="4" t="s">
        <v>169</v>
      </c>
    </row>
    <row r="19" spans="1:8" ht="26.25" customHeight="1" x14ac:dyDescent="0.3">
      <c r="A19" s="4" t="s">
        <v>108</v>
      </c>
      <c r="B19" s="4" t="s">
        <v>109</v>
      </c>
      <c r="C19" s="4" t="s">
        <v>110</v>
      </c>
      <c r="D19" s="4" t="s">
        <v>111</v>
      </c>
      <c r="E19" s="4" t="s">
        <v>112</v>
      </c>
      <c r="F19" s="4" t="s">
        <v>113</v>
      </c>
      <c r="G19" s="4" t="s">
        <v>114</v>
      </c>
      <c r="H19" s="4"/>
    </row>
    <row r="20" spans="1:8" ht="26.25" customHeight="1" x14ac:dyDescent="0.3">
      <c r="A20" s="4" t="s">
        <v>115</v>
      </c>
      <c r="B20" s="4" t="s">
        <v>116</v>
      </c>
      <c r="C20" s="4" t="s">
        <v>117</v>
      </c>
      <c r="D20" s="4" t="s">
        <v>118</v>
      </c>
      <c r="E20" s="4" t="s">
        <v>119</v>
      </c>
      <c r="F20" s="4" t="s">
        <v>120</v>
      </c>
      <c r="G20" s="4" t="s">
        <v>121</v>
      </c>
      <c r="H20" s="4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7"/>
  <sheetViews>
    <sheetView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ColWidth="8.6640625" defaultRowHeight="14.4" x14ac:dyDescent="0.3"/>
  <cols>
    <col min="1" max="1" width="14" customWidth="1"/>
    <col min="2" max="2" width="26" customWidth="1"/>
    <col min="3" max="3" width="18" customWidth="1"/>
    <col min="4" max="4" width="24" customWidth="1"/>
    <col min="5" max="5" width="52" customWidth="1"/>
    <col min="6" max="6" width="14" customWidth="1"/>
    <col min="7" max="7" width="30" customWidth="1"/>
    <col min="8" max="8" width="18" customWidth="1"/>
    <col min="9" max="9" width="30" customWidth="1"/>
  </cols>
  <sheetData>
    <row r="1" spans="1:9" ht="17.25" customHeight="1" x14ac:dyDescent="0.3">
      <c r="A1" s="1" t="s">
        <v>122</v>
      </c>
    </row>
    <row r="2" spans="1:9" x14ac:dyDescent="0.3">
      <c r="A2" s="2" t="s">
        <v>123</v>
      </c>
    </row>
    <row r="3" spans="1:9" x14ac:dyDescent="0.3">
      <c r="A3" s="5" t="s">
        <v>124</v>
      </c>
    </row>
    <row r="4" spans="1:9" x14ac:dyDescent="0.3">
      <c r="A4" s="2" t="s">
        <v>125</v>
      </c>
      <c r="B4" s="6">
        <f>COUNTA(A12:A27)</f>
        <v>16</v>
      </c>
    </row>
    <row r="5" spans="1:9" x14ac:dyDescent="0.3">
      <c r="A5" s="2" t="s">
        <v>126</v>
      </c>
      <c r="B5" s="6">
        <f>COUNTIF(F12:F27,"Yes")</f>
        <v>0</v>
      </c>
    </row>
    <row r="6" spans="1:9" x14ac:dyDescent="0.3">
      <c r="A6" s="2" t="s">
        <v>127</v>
      </c>
      <c r="B6" s="6">
        <f>COUNTIF(F12:F27,"Partial")</f>
        <v>0</v>
      </c>
    </row>
    <row r="7" spans="1:9" x14ac:dyDescent="0.3">
      <c r="A7" s="2" t="s">
        <v>128</v>
      </c>
      <c r="B7" s="6">
        <f>COUNTIF(F12:F27,"No")</f>
        <v>0</v>
      </c>
    </row>
    <row r="8" spans="1:9" x14ac:dyDescent="0.3">
      <c r="A8" s="2" t="s">
        <v>129</v>
      </c>
      <c r="B8" s="6">
        <f>COUNTIF(F12:F27,"Not assessed")</f>
        <v>16</v>
      </c>
    </row>
    <row r="9" spans="1:9" x14ac:dyDescent="0.3">
      <c r="A9" s="2" t="s">
        <v>130</v>
      </c>
      <c r="B9" s="7">
        <f>IF(B4=0,0,B5/B4)</f>
        <v>0</v>
      </c>
    </row>
    <row r="11" spans="1:9" x14ac:dyDescent="0.3">
      <c r="A11" s="3" t="s">
        <v>2</v>
      </c>
      <c r="B11" s="3" t="s">
        <v>3</v>
      </c>
      <c r="C11" s="3" t="s">
        <v>4</v>
      </c>
      <c r="D11" s="3" t="s">
        <v>5</v>
      </c>
      <c r="E11" s="3" t="s">
        <v>131</v>
      </c>
      <c r="F11" s="3" t="s">
        <v>132</v>
      </c>
      <c r="G11" s="3" t="s">
        <v>133</v>
      </c>
      <c r="H11" s="3" t="s">
        <v>134</v>
      </c>
      <c r="I11" s="3" t="s">
        <v>135</v>
      </c>
    </row>
    <row r="12" spans="1:9" ht="26.25" customHeight="1" x14ac:dyDescent="0.3">
      <c r="A12" s="4" t="s">
        <v>10</v>
      </c>
      <c r="B12" s="4" t="s">
        <v>11</v>
      </c>
      <c r="C12" s="4" t="s">
        <v>12</v>
      </c>
      <c r="D12" s="4" t="s">
        <v>13</v>
      </c>
      <c r="E12" s="4" t="s">
        <v>136</v>
      </c>
      <c r="F12" s="4" t="s">
        <v>129</v>
      </c>
      <c r="G12" s="4"/>
      <c r="H12" s="4"/>
      <c r="I12" s="4"/>
    </row>
    <row r="13" spans="1:9" ht="26.25" customHeight="1" x14ac:dyDescent="0.3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137</v>
      </c>
      <c r="F13" s="4" t="s">
        <v>129</v>
      </c>
      <c r="G13" s="4"/>
      <c r="H13" s="4"/>
      <c r="I13" s="4"/>
    </row>
    <row r="14" spans="1:9" ht="26.25" customHeight="1" x14ac:dyDescent="0.3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138</v>
      </c>
      <c r="F14" s="4" t="s">
        <v>129</v>
      </c>
      <c r="G14" s="4"/>
      <c r="H14" s="4"/>
      <c r="I14" s="4"/>
    </row>
    <row r="15" spans="1:9" ht="26.25" customHeight="1" x14ac:dyDescent="0.3">
      <c r="A15" s="4" t="s">
        <v>31</v>
      </c>
      <c r="B15" s="4" t="s">
        <v>32</v>
      </c>
      <c r="C15" s="4" t="s">
        <v>33</v>
      </c>
      <c r="D15" s="4" t="s">
        <v>34</v>
      </c>
      <c r="E15" s="4" t="s">
        <v>139</v>
      </c>
      <c r="F15" s="4" t="s">
        <v>129</v>
      </c>
      <c r="G15" s="4"/>
      <c r="H15" s="4"/>
      <c r="I15" s="4"/>
    </row>
    <row r="16" spans="1:9" ht="26.25" customHeight="1" x14ac:dyDescent="0.3">
      <c r="A16" s="4" t="s">
        <v>38</v>
      </c>
      <c r="B16" s="4" t="s">
        <v>39</v>
      </c>
      <c r="C16" s="4" t="s">
        <v>40</v>
      </c>
      <c r="D16" s="4" t="s">
        <v>41</v>
      </c>
      <c r="E16" s="4" t="s">
        <v>140</v>
      </c>
      <c r="F16" s="4" t="s">
        <v>129</v>
      </c>
      <c r="G16" s="4"/>
      <c r="H16" s="4"/>
      <c r="I16" s="4"/>
    </row>
    <row r="17" spans="1:9" ht="26.25" customHeight="1" x14ac:dyDescent="0.3">
      <c r="A17" s="4" t="s">
        <v>45</v>
      </c>
      <c r="B17" s="4" t="s">
        <v>46</v>
      </c>
      <c r="C17" s="4" t="s">
        <v>47</v>
      </c>
      <c r="D17" s="4" t="s">
        <v>48</v>
      </c>
      <c r="E17" s="4" t="s">
        <v>141</v>
      </c>
      <c r="F17" s="4" t="s">
        <v>129</v>
      </c>
      <c r="G17" s="4"/>
      <c r="H17" s="4"/>
      <c r="I17" s="4"/>
    </row>
    <row r="18" spans="1:9" ht="26.25" customHeight="1" x14ac:dyDescent="0.3">
      <c r="A18" s="4" t="s">
        <v>52</v>
      </c>
      <c r="B18" s="4" t="s">
        <v>53</v>
      </c>
      <c r="C18" s="4" t="s">
        <v>54</v>
      </c>
      <c r="D18" s="4" t="s">
        <v>55</v>
      </c>
      <c r="E18" s="4" t="s">
        <v>142</v>
      </c>
      <c r="F18" s="4" t="s">
        <v>129</v>
      </c>
      <c r="G18" s="4"/>
      <c r="H18" s="4"/>
      <c r="I18" s="4"/>
    </row>
    <row r="19" spans="1:9" ht="26.25" customHeight="1" x14ac:dyDescent="0.3">
      <c r="A19" s="4" t="s">
        <v>59</v>
      </c>
      <c r="B19" s="4" t="s">
        <v>60</v>
      </c>
      <c r="C19" s="4" t="s">
        <v>61</v>
      </c>
      <c r="D19" s="4" t="s">
        <v>62</v>
      </c>
      <c r="E19" s="4" t="s">
        <v>143</v>
      </c>
      <c r="F19" s="4" t="s">
        <v>129</v>
      </c>
      <c r="G19" s="4"/>
      <c r="H19" s="4"/>
      <c r="I19" s="4"/>
    </row>
    <row r="20" spans="1:9" ht="26.25" customHeight="1" x14ac:dyDescent="0.3">
      <c r="A20" s="4" t="s">
        <v>66</v>
      </c>
      <c r="B20" s="4" t="s">
        <v>67</v>
      </c>
      <c r="C20" s="4" t="s">
        <v>68</v>
      </c>
      <c r="D20" s="4" t="s">
        <v>69</v>
      </c>
      <c r="E20" s="4" t="s">
        <v>144</v>
      </c>
      <c r="F20" s="4" t="s">
        <v>129</v>
      </c>
      <c r="G20" s="4"/>
      <c r="H20" s="4"/>
      <c r="I20" s="4"/>
    </row>
    <row r="21" spans="1:9" ht="26.25" customHeight="1" x14ac:dyDescent="0.3">
      <c r="A21" s="4" t="s">
        <v>73</v>
      </c>
      <c r="B21" s="4" t="s">
        <v>74</v>
      </c>
      <c r="C21" s="4" t="s">
        <v>75</v>
      </c>
      <c r="D21" s="4" t="s">
        <v>76</v>
      </c>
      <c r="E21" s="4" t="s">
        <v>145</v>
      </c>
      <c r="F21" s="4" t="s">
        <v>129</v>
      </c>
      <c r="G21" s="4"/>
      <c r="H21" s="4"/>
      <c r="I21" s="4"/>
    </row>
    <row r="22" spans="1:9" ht="26.25" customHeight="1" x14ac:dyDescent="0.3">
      <c r="A22" s="4" t="s">
        <v>80</v>
      </c>
      <c r="B22" s="4" t="s">
        <v>81</v>
      </c>
      <c r="C22" s="4" t="s">
        <v>82</v>
      </c>
      <c r="D22" s="4" t="s">
        <v>83</v>
      </c>
      <c r="E22" s="4" t="s">
        <v>146</v>
      </c>
      <c r="F22" s="4" t="s">
        <v>129</v>
      </c>
      <c r="G22" s="4"/>
      <c r="H22" s="4"/>
      <c r="I22" s="4"/>
    </row>
    <row r="23" spans="1:9" ht="26.25" customHeight="1" x14ac:dyDescent="0.3">
      <c r="A23" s="4" t="s">
        <v>87</v>
      </c>
      <c r="B23" s="4" t="s">
        <v>88</v>
      </c>
      <c r="C23" s="4" t="s">
        <v>89</v>
      </c>
      <c r="D23" s="4" t="s">
        <v>90</v>
      </c>
      <c r="E23" s="4" t="s">
        <v>147</v>
      </c>
      <c r="F23" s="4" t="s">
        <v>129</v>
      </c>
      <c r="G23" s="4"/>
      <c r="H23" s="4"/>
      <c r="I23" s="4"/>
    </row>
    <row r="24" spans="1:9" ht="26.25" customHeight="1" x14ac:dyDescent="0.3">
      <c r="A24" s="4" t="s">
        <v>94</v>
      </c>
      <c r="B24" s="4" t="s">
        <v>95</v>
      </c>
      <c r="C24" s="4" t="s">
        <v>96</v>
      </c>
      <c r="D24" s="4" t="s">
        <v>97</v>
      </c>
      <c r="E24" s="4" t="s">
        <v>148</v>
      </c>
      <c r="F24" s="4" t="s">
        <v>129</v>
      </c>
      <c r="G24" s="4"/>
      <c r="H24" s="4"/>
      <c r="I24" s="4"/>
    </row>
    <row r="25" spans="1:9" ht="26.25" customHeight="1" x14ac:dyDescent="0.3">
      <c r="A25" s="4" t="s">
        <v>101</v>
      </c>
      <c r="B25" s="4" t="s">
        <v>102</v>
      </c>
      <c r="C25" s="4" t="s">
        <v>103</v>
      </c>
      <c r="D25" s="4" t="s">
        <v>104</v>
      </c>
      <c r="E25" s="4" t="s">
        <v>149</v>
      </c>
      <c r="F25" s="4" t="s">
        <v>129</v>
      </c>
      <c r="G25" s="4"/>
      <c r="H25" s="4"/>
      <c r="I25" s="4"/>
    </row>
    <row r="26" spans="1:9" ht="26.25" customHeight="1" x14ac:dyDescent="0.3">
      <c r="A26" s="4" t="s">
        <v>108</v>
      </c>
      <c r="B26" s="4" t="s">
        <v>109</v>
      </c>
      <c r="C26" s="4" t="s">
        <v>110</v>
      </c>
      <c r="D26" s="4" t="s">
        <v>111</v>
      </c>
      <c r="E26" s="4" t="s">
        <v>150</v>
      </c>
      <c r="F26" s="4" t="s">
        <v>129</v>
      </c>
      <c r="G26" s="4"/>
      <c r="H26" s="4"/>
      <c r="I26" s="4"/>
    </row>
    <row r="27" spans="1:9" ht="26.25" customHeight="1" x14ac:dyDescent="0.3">
      <c r="A27" s="4" t="s">
        <v>115</v>
      </c>
      <c r="B27" s="4" t="s">
        <v>116</v>
      </c>
      <c r="C27" s="4" t="s">
        <v>117</v>
      </c>
      <c r="D27" s="4" t="s">
        <v>118</v>
      </c>
      <c r="E27" s="4" t="s">
        <v>151</v>
      </c>
      <c r="F27" s="4" t="s">
        <v>129</v>
      </c>
      <c r="G27" s="4"/>
      <c r="H27" s="4"/>
      <c r="I27" s="4"/>
    </row>
  </sheetData>
  <dataValidations count="1">
    <dataValidation type="list" sqref="F12:F27" xr:uid="{00000000-0002-0000-0100-000000000000}">
      <formula1>"Yes,Partial,No,Not assessed"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zoomScaleNormal="100" workbookViewId="0">
      <selection activeCell="B14" sqref="B14"/>
    </sheetView>
  </sheetViews>
  <sheetFormatPr defaultColWidth="8.6640625" defaultRowHeight="14.4" x14ac:dyDescent="0.3"/>
  <cols>
    <col min="1" max="1" width="120" customWidth="1"/>
  </cols>
  <sheetData>
    <row r="1" spans="1:1" ht="17.25" customHeight="1" x14ac:dyDescent="0.3">
      <c r="A1" s="8" t="s">
        <v>152</v>
      </c>
    </row>
    <row r="2" spans="1:1" x14ac:dyDescent="0.3">
      <c r="A2" s="9"/>
    </row>
    <row r="3" spans="1:1" x14ac:dyDescent="0.3">
      <c r="A3" s="10" t="s">
        <v>153</v>
      </c>
    </row>
    <row r="4" spans="1:1" x14ac:dyDescent="0.3">
      <c r="A4" s="9" t="s">
        <v>154</v>
      </c>
    </row>
    <row r="5" spans="1:1" x14ac:dyDescent="0.3">
      <c r="A5" s="9" t="s">
        <v>155</v>
      </c>
    </row>
    <row r="6" spans="1:1" x14ac:dyDescent="0.3">
      <c r="A6" s="9" t="s">
        <v>156</v>
      </c>
    </row>
    <row r="7" spans="1:1" x14ac:dyDescent="0.3">
      <c r="A7" s="9"/>
    </row>
    <row r="8" spans="1:1" x14ac:dyDescent="0.3">
      <c r="A8" s="10" t="s">
        <v>157</v>
      </c>
    </row>
    <row r="9" spans="1:1" ht="26.25" customHeight="1" x14ac:dyDescent="0.3">
      <c r="A9" s="9" t="s">
        <v>158</v>
      </c>
    </row>
    <row r="10" spans="1:1" x14ac:dyDescent="0.3">
      <c r="A10" s="9"/>
    </row>
    <row r="11" spans="1:1" x14ac:dyDescent="0.3">
      <c r="A11" s="10" t="s">
        <v>159</v>
      </c>
    </row>
    <row r="12" spans="1:1" ht="39" customHeight="1" x14ac:dyDescent="0.3">
      <c r="A12" s="9" t="s">
        <v>160</v>
      </c>
    </row>
    <row r="13" spans="1:1" x14ac:dyDescent="0.3">
      <c r="A13" s="9" t="s">
        <v>161</v>
      </c>
    </row>
    <row r="14" spans="1:1" x14ac:dyDescent="0.3">
      <c r="A14" s="9" t="s">
        <v>162</v>
      </c>
    </row>
    <row r="15" spans="1:1" ht="26.4" x14ac:dyDescent="0.3">
      <c r="A15" s="9" t="s">
        <v>163</v>
      </c>
    </row>
    <row r="16" spans="1:1" x14ac:dyDescent="0.3">
      <c r="A16" s="9"/>
    </row>
    <row r="17" spans="1:1" x14ac:dyDescent="0.3">
      <c r="A17" s="10" t="s">
        <v>164</v>
      </c>
    </row>
    <row r="18" spans="1:1" ht="26.25" customHeight="1" x14ac:dyDescent="0.3">
      <c r="A18" s="9" t="s">
        <v>165</v>
      </c>
    </row>
    <row r="19" spans="1:1" x14ac:dyDescent="0.3">
      <c r="A19" s="9" t="s">
        <v>166</v>
      </c>
    </row>
    <row r="20" spans="1:1" x14ac:dyDescent="0.3">
      <c r="A20" s="9"/>
    </row>
    <row r="21" spans="1:1" x14ac:dyDescent="0.3">
      <c r="A21" s="10" t="s">
        <v>167</v>
      </c>
    </row>
    <row r="22" spans="1:1" ht="26.25" customHeight="1" x14ac:dyDescent="0.3">
      <c r="A22" s="9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Crosswalk</vt:lpstr>
      <vt:lpstr>Checklist</vt:lpstr>
      <vt:lpstr>Notes and Sources</vt:lpstr>
      <vt:lpstr>Crosswalk!Print_Titles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BENARD</cp:lastModifiedBy>
  <cp:revision>0</cp:revision>
  <dcterms:created xsi:type="dcterms:W3CDTF">2026-10-14T07:00:37Z</dcterms:created>
  <dcterms:modified xsi:type="dcterms:W3CDTF">2026-10-14T07:37:16Z</dcterms:modified>
  <dc:language>en-US</dc:language>
</cp:coreProperties>
</file>